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r. Jay\Documents\GitHub\Map_Up\submission\"/>
    </mc:Choice>
  </mc:AlternateContent>
  <xr:revisionPtr revIDLastSave="0" documentId="13_ncr:1_{13C5F7BF-42F9-4365-AB6F-2F25D05E08E8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2" i="19" l="1"/>
  <c r="F30" i="18"/>
  <c r="E30" i="18"/>
  <c r="D30" i="18"/>
  <c r="C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22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3" i="18"/>
  <c r="B24" i="18"/>
  <c r="B25" i="18"/>
  <c r="B26" i="18"/>
  <c r="B27" i="18"/>
  <c r="C6" i="18"/>
  <c r="D6" i="18"/>
  <c r="E6" i="18"/>
  <c r="F6" i="18"/>
  <c r="B6" i="18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<sst xmlns="http://schemas.openxmlformats.org/spreadsheetml/2006/main" count="405" uniqueCount="182">
  <si>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</si>
  <si>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</si>
  <si>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</si>
  <si>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</si>
  <si>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</si>
  <si>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</si>
  <si>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</si>
  <si>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</si>
  <si>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</si>
  <si>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</si>
  <si>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</si>
  <si>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</si>
  <si>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</si>
  <si>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</si>
  <si>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</si>
  <si>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</si>
  <si>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</si>
  <si>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</si>
  <si>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</si>
  <si>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</si>
  <si>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</si>
  <si>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</si>
  <si>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</si>
  <si>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</si>
  <si>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</si>
  <si>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</si>
  <si>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</si>
  <si>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</si>
  <si>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</si>
  <si>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</si>
  <si>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</si>
  <si>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</si>
  <si>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</si>
  <si>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</si>
  <si>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</si>
  <si>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</si>
  <si>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</si>
  <si>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</si>
  <si>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</si>
  <si>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</si>
  <si>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</si>
  <si>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</si>
  <si>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</si>
  <si>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</si>
  <si>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</si>
  <si>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</si>
  <si>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</si>
  <si>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</si>
  <si>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</si>
  <si>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</si>
  <si>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</si>
  <si>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</si>
  <si>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</si>
  <si>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</si>
  <si>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</si>
  <si>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</si>
  <si>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</si>
  <si>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</si>
  <si>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</si>
  <si>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</si>
  <si>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</si>
  <si>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</si>
  <si>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</si>
  <si>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</si>
  <si>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</si>
  <si>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</si>
  <si>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</si>
  <si>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</si>
  <si>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</si>
  <si>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</si>
  <si>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</si>
  <si>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</si>
  <si>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</si>
  <si>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</si>
  <si>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</si>
  <si>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</si>
  <si>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</si>
  <si>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</si>
  <si>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</si>
  <si>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</si>
  <si>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</si>
  <si>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</si>
  <si>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</si>
  <si>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</si>
  <si>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</si>
  <si>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</si>
  <si>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</si>
  <si>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</si>
  <si>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</si>
  <si>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</si>
  <si>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</si>
  <si>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</si>
  <si>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</si>
  <si>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</si>
  <si>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</si>
  <si>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</si>
  <si>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</si>
  <si>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</si>
  <si>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</si>
  <si>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</si>
  <si>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</si>
  <si>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</si>
  <si>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</si>
  <si>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</si>
  <si>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</si>
  <si>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</si>
  <si>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</si>
  <si>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</si>
  <si>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</si>
  <si>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</si>
  <si>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</si>
  <si>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</si>
  <si>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</si>
  <si>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</si>
  <si>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</si>
  <si>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</si>
  <si>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</si>
  <si>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</si>
  <si>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</si>
  <si>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</si>
  <si>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</si>
  <si>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</si>
  <si>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</si>
  <si>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</si>
  <si>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</si>
  <si>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</si>
  <si>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</si>
  <si>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</si>
  <si>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</si>
  <si>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</si>
  <si>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</si>
  <si>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</si>
  <si>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</si>
  <si>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</si>
  <si>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</si>
  <si>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</si>
  <si>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</si>
  <si>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</si>
  <si>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</si>
  <si>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</si>
  <si>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</si>
  <si>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</si>
  <si>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</si>
  <si>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</si>
  <si>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</si>
  <si>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</si>
  <si>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</si>
  <si>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</si>
  <si>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</si>
  <si>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</si>
  <si>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</si>
  <si>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</si>
  <si>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</si>
  <si>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</si>
  <si>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</si>
  <si>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</si>
  <si>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</si>
  <si>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</si>
  <si>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</si>
  <si>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</si>
  <si>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</si>
  <si>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</si>
  <si>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</si>
  <si>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</si>
  <si>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</si>
  <si>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</si>
  <si>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</si>
  <si>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</si>
  <si>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</si>
  <si>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</si>
  <si>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</si>
  <si>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</si>
  <si>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</si>
  <si>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</si>
  <si>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</si>
  <si>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</si>
  <si>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</si>
  <si>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Please paste formula used here=SUMIF(H:H, "&gt;20")</t>
  </si>
  <si>
    <t>select values text then go to data tab, -&gt;Text to Columns -&gt;Delimited -&gt;Choose the delimiter i want to use -&gt;Select the destination for the split data</t>
  </si>
  <si>
    <t>first step to select values A16:A54,next go to data tab and click text to column,then select other delimited click next,then select my destination B:16 start to my text this destination and finally press finish and then give same output look as example_table</t>
  </si>
  <si>
    <t>SUMIF(C2:C11,"&lt;&gt;#N/A",IF(ISNA(C2:C11),20,C2:C11))</t>
  </si>
  <si>
    <t>SUMIF(C12:21,"&lt;&gt;#N/A", ...) - This part checks the range C12:C21 for values that are not #N/A.
IF(ISNA(C12:C21),20,C12:C21) - For each value in the range, this checks if it's an #N/A. If it is, it replaces it with '20', otherwise, it keeps the original value.
SUMIF then calculates the sum of the modified range where #N/A values are substituted with '20'.
This formula sums up all the sales in the "Sales" column (C2:C11) while treating #N/A values as '20' before performing the summation. Adjust the range C2:C11 according to the actual range in your Excel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</si>
</sst>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24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onsolas"/>
      <family val="3"/>
    </font>
    <font>
      <sz val="12"/>
      <color rgb="FF000000"/>
      <name val="Calibri"/>
      <family val="2"/>
      <scheme val="minor"/>
    </font>
    <font>
      <b/>
      <sz val="9"/>
      <color theme="1"/>
      <name val="Consolas"/>
      <family val="3"/>
    </font>
    <font>
      <b/>
      <sz val="11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19" fillId="0" borderId="0" xfId="0" applyFont="1"/>
    <xf numFmtId="171" fontId="7" fillId="0" borderId="0" xfId="0" applyNumberFormat="1" applyFont="1"/>
    <xf numFmtId="171" fontId="3" fillId="0" borderId="0" xfId="0" applyNumberFormat="1" applyFont="1"/>
    <xf numFmtId="0" fontId="15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20" fillId="0" borderId="1" xfId="0" applyFont="1" applyBorder="1"/>
    <xf numFmtId="0" fontId="22" fillId="0" borderId="1" xfId="0" applyFont="1" applyBorder="1"/>
    <xf numFmtId="0" fontId="22" fillId="0" borderId="11" xfId="0" applyFont="1" applyBorder="1"/>
    <xf numFmtId="0" fontId="23" fillId="0" borderId="12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9" sqref="A9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H4" sqref="H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4">
        <v>-1</v>
      </c>
      <c r="K2" s="44">
        <v>-1</v>
      </c>
      <c r="L2" s="44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4">
        <v>-1</v>
      </c>
      <c r="K3" s="44">
        <v>-1</v>
      </c>
      <c r="L3" s="44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4">
        <v>-1</v>
      </c>
      <c r="K4" s="44">
        <v>-1</v>
      </c>
      <c r="L4" s="44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4">
        <v>-1</v>
      </c>
      <c r="K5" s="44">
        <v>-1</v>
      </c>
      <c r="L5" s="44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4">
        <v>-1</v>
      </c>
      <c r="K6" s="44">
        <v>-1</v>
      </c>
      <c r="L6" s="44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4">
        <v>-1</v>
      </c>
      <c r="K7" s="44">
        <v>-1</v>
      </c>
      <c r="L7" s="44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4">
        <v>-1</v>
      </c>
      <c r="K8" s="44">
        <v>-1</v>
      </c>
      <c r="L8" s="44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4">
        <v>-1</v>
      </c>
      <c r="K9" s="44">
        <v>-1</v>
      </c>
      <c r="L9" s="44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4">
        <v>-1</v>
      </c>
      <c r="K10" s="44">
        <v>-1</v>
      </c>
      <c r="L10" s="44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4">
        <v>-1</v>
      </c>
      <c r="K11" s="44">
        <v>-1</v>
      </c>
      <c r="L11" s="44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4">
        <v>-1</v>
      </c>
      <c r="K13" s="44">
        <v>-1</v>
      </c>
      <c r="L13" s="44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4">
        <v>-1</v>
      </c>
      <c r="K14" s="44">
        <v>-1</v>
      </c>
      <c r="L14" s="44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4">
        <v>-1</v>
      </c>
      <c r="K15" s="44">
        <v>-1</v>
      </c>
      <c r="L15" s="44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4">
        <v>-1</v>
      </c>
      <c r="K16" s="44">
        <v>-1</v>
      </c>
      <c r="L16" s="44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4">
        <v>-1</v>
      </c>
      <c r="K17" s="44">
        <v>-1</v>
      </c>
      <c r="L17" s="44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4">
        <v>-1</v>
      </c>
      <c r="K18" s="44">
        <v>-1</v>
      </c>
      <c r="L18" s="44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4">
        <v>-1</v>
      </c>
      <c r="K19" s="44">
        <v>-1</v>
      </c>
      <c r="L19" s="44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4">
        <v>-1</v>
      </c>
      <c r="K20" s="44">
        <v>-1</v>
      </c>
      <c r="L20" s="44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4">
        <v>-1</v>
      </c>
      <c r="K21" s="44">
        <v>-1</v>
      </c>
      <c r="L21" s="44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4">
        <v>-1</v>
      </c>
      <c r="K22" s="44">
        <v>-1</v>
      </c>
      <c r="L22" s="44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4">
        <v>-1</v>
      </c>
      <c r="K23" s="44">
        <v>-1</v>
      </c>
      <c r="L23" s="44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4">
        <v>-1</v>
      </c>
      <c r="K24" s="44">
        <v>-1</v>
      </c>
      <c r="L24" s="44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4">
        <v>-1</v>
      </c>
      <c r="K25" s="44">
        <v>-1</v>
      </c>
      <c r="L25" s="44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4">
        <v>-1</v>
      </c>
      <c r="K27" s="44">
        <v>-1</v>
      </c>
      <c r="L27" s="44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4">
        <v>-1</v>
      </c>
      <c r="K28" s="44">
        <v>-1</v>
      </c>
      <c r="L28" s="44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4">
        <v>-1</v>
      </c>
      <c r="K29" s="44">
        <v>-1</v>
      </c>
      <c r="L29" s="44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4">
        <v>-1</v>
      </c>
      <c r="K31" s="44">
        <v>-1</v>
      </c>
      <c r="L31" s="44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4">
        <v>-1</v>
      </c>
      <c r="K33" s="44">
        <v>-1</v>
      </c>
      <c r="L33" s="44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4">
        <v>-1</v>
      </c>
      <c r="K34" s="44">
        <v>-1</v>
      </c>
      <c r="L34" s="44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4">
        <v>-1</v>
      </c>
      <c r="K35" s="44">
        <v>-1</v>
      </c>
      <c r="L35" s="44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4">
        <v>-1</v>
      </c>
      <c r="K36" s="44">
        <v>-1</v>
      </c>
      <c r="L36" s="44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4">
        <v>-1</v>
      </c>
      <c r="K37" s="44">
        <v>-1</v>
      </c>
      <c r="L37" s="44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4">
        <v>-1</v>
      </c>
      <c r="K38" s="44">
        <v>-1</v>
      </c>
      <c r="L38" s="44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4">
        <v>-1</v>
      </c>
      <c r="K39" s="44">
        <v>-1</v>
      </c>
      <c r="L39" s="44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4">
        <v>-1</v>
      </c>
      <c r="K40" s="44">
        <v>-1</v>
      </c>
      <c r="L40" s="44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phoneticPr fontId="10" type="noConversion"/>
  <conditionalFormatting sqref="A1:A1048576">
    <cfRule type="duplicateValues" dxfId="1" priority="9"/>
  </conditionalFormatting>
  <conditionalFormatting sqref="B1:B1048576">
    <cfRule type="duplicateValues" dxfId="0" priority="8"/>
  </conditionalFormatting>
  <conditionalFormatting sqref="G1:W1048576">
    <cfRule type="expression" priority="2">
      <formula>G1=0</formula>
    </cfRule>
    <cfRule type="expression" priority="4">
      <formula>A1=0</formula>
    </cfRule>
    <cfRule type="expression" priority="5">
      <formula>G=0</formula>
    </cfRule>
    <cfRule type="expression" priority="6">
      <formula>0</formula>
    </cfRule>
    <cfRule type="expression" priority="7">
      <formula>A1048576=0</formula>
    </cfRule>
  </conditionalFormatting>
  <conditionalFormatting sqref="G1:W40">
    <cfRule type="expression" priority="3">
      <formula>$G$1:$W$40=0</formula>
    </cfRule>
  </conditionalFormatting>
  <conditionalFormatting sqref="P7">
    <cfRule type="expression" priority="1">
      <formula>G1=0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="72" zoomScaleNormal="100" workbookViewId="0">
      <selection activeCell="G29" sqref="G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 Dataset!$A$2:$W$50, MATCH(B$5, Dataset!$1:$1, 0), FALSE)</f>
        <v>2.7</v>
      </c>
      <c r="C6" s="11">
        <f>VLOOKUP($A6, Dataset!$A$2:$W$50, MATCH(C$5, Dataset!$1:$1, 0), FALSE)</f>
        <v>7.6</v>
      </c>
      <c r="D6" s="11">
        <f>VLOOKUP($A6, Dataset!$A$2:$W$50, MATCH(D$5, Dataset!$1:$1, 0), FALSE)</f>
        <v>4.2</v>
      </c>
      <c r="E6" s="11">
        <f>VLOOKUP($A6, Dataset!$A$2:$W$50, MATCH(E$5, Dataset!$1:$1, 0), FALSE)</f>
        <v>8.9</v>
      </c>
      <c r="F6" s="11">
        <f>VLOOKUP($A6, Dataset!$A$2:$W$50, MATCH(F$5, Dataset!$1:$1, 0), FALSE)</f>
        <v>4.2</v>
      </c>
    </row>
    <row r="7" spans="1:7" ht="15" x14ac:dyDescent="0.25">
      <c r="A7" s="7" t="s">
        <v>4</v>
      </c>
      <c r="B7" s="11">
        <f>VLOOKUP($A7, Dataset!$A$2:$W$50, MATCH(B$5, Dataset!$1:$1, 0), FALSE)</f>
        <v>2.7</v>
      </c>
      <c r="C7" s="11">
        <f>VLOOKUP($A7, Dataset!$A$2:$W$50, MATCH(C$5, Dataset!$1:$1, 0), FALSE)</f>
        <v>7.6</v>
      </c>
      <c r="D7" s="11">
        <f>VLOOKUP($A7, Dataset!$A$2:$W$50, MATCH(D$5, Dataset!$1:$1, 0), FALSE)</f>
        <v>4.2</v>
      </c>
      <c r="E7" s="11">
        <f>VLOOKUP($A7, Dataset!$A$2:$W$50, MATCH(E$5, Dataset!$1:$1, 0), FALSE)</f>
        <v>8.9</v>
      </c>
      <c r="F7" s="11">
        <f>VLOOKUP($A7, Dataset!$A$2:$W$50, MATCH(F$5, Dataset!$1:$1, 0), FALSE)</f>
        <v>4.2</v>
      </c>
    </row>
    <row r="8" spans="1:7" ht="15" x14ac:dyDescent="0.25">
      <c r="A8" s="7" t="s">
        <v>7</v>
      </c>
      <c r="B8" s="11">
        <f>VLOOKUP($A8, Dataset!$A$2:$W$50, MATCH(B$5, Dataset!$1:$1, 0), FALSE)</f>
        <v>3.6</v>
      </c>
      <c r="C8" s="11">
        <f>VLOOKUP($A8, Dataset!$A$2:$W$50, MATCH(C$5, Dataset!$1:$1, 0), FALSE)</f>
        <v>11.1</v>
      </c>
      <c r="D8" s="11">
        <f>VLOOKUP($A8, Dataset!$A$2:$W$50, MATCH(D$5, Dataset!$1:$1, 0), FALSE)</f>
        <v>5.8</v>
      </c>
      <c r="E8" s="11">
        <f>VLOOKUP($A8, Dataset!$A$2:$W$50, MATCH(E$5, Dataset!$1:$1, 0), FALSE)</f>
        <v>12.2</v>
      </c>
      <c r="F8" s="11">
        <f>VLOOKUP($A8, Dataset!$A$2:$W$50, MATCH(F$5, Dataset!$1:$1, 0), FALSE)</f>
        <v>5.8</v>
      </c>
    </row>
    <row r="9" spans="1:7" ht="15" x14ac:dyDescent="0.25">
      <c r="A9" s="7" t="s">
        <v>8</v>
      </c>
      <c r="B9" s="11">
        <f>VLOOKUP($A9, Dataset!$A$2:$W$50, MATCH(B$5, Dataset!$1:$1, 0), FALSE)</f>
        <v>4.9000000000000004</v>
      </c>
      <c r="C9" s="11">
        <f>VLOOKUP($A9, Dataset!$A$2:$W$50, MATCH(C$5, Dataset!$1:$1, 0), FALSE)</f>
        <v>13.3</v>
      </c>
      <c r="D9" s="11">
        <f>VLOOKUP($A9, Dataset!$A$2:$W$50, MATCH(D$5, Dataset!$1:$1, 0), FALSE)</f>
        <v>8.1</v>
      </c>
      <c r="E9" s="11">
        <f>VLOOKUP($A9, Dataset!$A$2:$W$50, MATCH(E$5, Dataset!$1:$1, 0), FALSE)</f>
        <v>17</v>
      </c>
      <c r="F9" s="11">
        <f>VLOOKUP($A9, Dataset!$A$2:$W$50, MATCH(F$5, Dataset!$1:$1, 0), FALSE)</f>
        <v>8.1</v>
      </c>
    </row>
    <row r="10" spans="1:7" ht="15" x14ac:dyDescent="0.25">
      <c r="A10" s="7" t="s">
        <v>11</v>
      </c>
      <c r="B10" s="11">
        <f>VLOOKUP($A10, Dataset!$A$2:$W$50, MATCH(B$5, Dataset!$1:$1, 0), FALSE)</f>
        <v>9.4</v>
      </c>
      <c r="C10" s="11">
        <f>VLOOKUP($A10, Dataset!$A$2:$W$50, MATCH(C$5, Dataset!$1:$1, 0), FALSE)</f>
        <v>28.3</v>
      </c>
      <c r="D10" s="11">
        <f>VLOOKUP($A10, Dataset!$A$2:$W$50, MATCH(D$5, Dataset!$1:$1, 0), FALSE)</f>
        <v>16.100000000000001</v>
      </c>
      <c r="E10" s="11">
        <f>VLOOKUP($A10, Dataset!$A$2:$W$50, MATCH(E$5, Dataset!$1:$1, 0), FALSE)</f>
        <v>32.799999999999997</v>
      </c>
      <c r="F10" s="11">
        <f>VLOOKUP($A10, Dataset!$A$2:$W$50, MATCH(F$5, Dataset!$1:$1, 0), FALSE)</f>
        <v>16.100000000000001</v>
      </c>
    </row>
    <row r="11" spans="1:7" ht="15" x14ac:dyDescent="0.25">
      <c r="A11" s="7" t="s">
        <v>12</v>
      </c>
      <c r="B11" s="11">
        <f>VLOOKUP($A11, Dataset!$A$2:$W$50, MATCH(B$5, Dataset!$1:$1, 0), FALSE)</f>
        <v>11.6</v>
      </c>
      <c r="C11" s="11">
        <f>VLOOKUP($A11, Dataset!$A$2:$W$50, MATCH(C$5, Dataset!$1:$1, 0), FALSE)</f>
        <v>35.200000000000003</v>
      </c>
      <c r="D11" s="11">
        <f>VLOOKUP($A11, Dataset!$A$2:$W$50, MATCH(D$5, Dataset!$1:$1, 0), FALSE)</f>
        <v>21.3</v>
      </c>
      <c r="E11" s="11">
        <f>VLOOKUP($A11, Dataset!$A$2:$W$50, MATCH(E$5, Dataset!$1:$1, 0), FALSE)</f>
        <v>43</v>
      </c>
      <c r="F11" s="11">
        <f>VLOOKUP($A11, Dataset!$A$2:$W$50, MATCH(F$5, Dataset!$1:$1, 0), FALSE)</f>
        <v>21.3</v>
      </c>
    </row>
    <row r="12" spans="1:7" ht="15" x14ac:dyDescent="0.25">
      <c r="A12" s="7" t="s">
        <v>14</v>
      </c>
      <c r="B12" s="11">
        <f>VLOOKUP($A12, Dataset!$A$2:$W$50, MATCH(B$5, Dataset!$1:$1, 0), FALSE)</f>
        <v>18.399999999999999</v>
      </c>
      <c r="C12" s="11">
        <f>VLOOKUP($A12, Dataset!$A$2:$W$50, MATCH(C$5, Dataset!$1:$1, 0), FALSE)</f>
        <v>55.6</v>
      </c>
      <c r="D12" s="11">
        <f>VLOOKUP($A12, Dataset!$A$2:$W$50, MATCH(D$5, Dataset!$1:$1, 0), FALSE)</f>
        <v>33.799999999999997</v>
      </c>
      <c r="E12" s="11">
        <f>VLOOKUP($A12, Dataset!$A$2:$W$50, MATCH(E$5, Dataset!$1:$1, 0), FALSE)</f>
        <v>67.900000000000006</v>
      </c>
      <c r="F12" s="11">
        <f>VLOOKUP($A12, Dataset!$A$2:$W$50, MATCH(F$5, Dataset!$1:$1, 0), FALSE)</f>
        <v>33.799999999999997</v>
      </c>
    </row>
    <row r="13" spans="1:7" ht="15" x14ac:dyDescent="0.25">
      <c r="A13" s="7" t="s">
        <v>15</v>
      </c>
      <c r="B13" s="11">
        <f>VLOOKUP($A13, Dataset!$A$2:$W$50, MATCH(B$5, Dataset!$1:$1, 0), FALSE)</f>
        <v>0</v>
      </c>
      <c r="C13" s="11">
        <f>VLOOKUP($A13, Dataset!$A$2:$W$50, MATCH(C$5, Dataset!$1:$1, 0), FALSE)</f>
        <v>0</v>
      </c>
      <c r="D13" s="11">
        <f>VLOOKUP($A13, Dataset!$A$2:$W$50, MATCH(D$5, Dataset!$1:$1, 0), FALSE)</f>
        <v>0</v>
      </c>
      <c r="E13" s="11">
        <f>VLOOKUP($A13, Dataset!$A$2:$W$50, MATCH(E$5, Dataset!$1:$1, 0), FALSE)</f>
        <v>0</v>
      </c>
      <c r="F13" s="11">
        <f>VLOOKUP($A13, Dataset!$A$2:$W$50, MATCH(F$5, Dataset!$1:$1, 0), FALSE)</f>
        <v>0</v>
      </c>
    </row>
    <row r="14" spans="1:7" ht="15" x14ac:dyDescent="0.25">
      <c r="A14" s="7" t="s">
        <v>16</v>
      </c>
      <c r="B14" s="11">
        <f>VLOOKUP($A14, Dataset!$A$2:$W$50, MATCH(B$5, Dataset!$1:$1, 0), FALSE)</f>
        <v>21.9</v>
      </c>
      <c r="C14" s="11">
        <f>VLOOKUP($A14, Dataset!$A$2:$W$50, MATCH(C$5, Dataset!$1:$1, 0), FALSE)</f>
        <v>61.5</v>
      </c>
      <c r="D14" s="11">
        <f>VLOOKUP($A14, Dataset!$A$2:$W$50, MATCH(D$5, Dataset!$1:$1, 0), FALSE)</f>
        <v>40.1</v>
      </c>
      <c r="E14" s="11">
        <f>VLOOKUP($A14, Dataset!$A$2:$W$50, MATCH(E$5, Dataset!$1:$1, 0), FALSE)</f>
        <v>76.599999999999994</v>
      </c>
      <c r="F14" s="11">
        <f>VLOOKUP($A14, Dataset!$A$2:$W$50, MATCH(F$5, Dataset!$1:$1, 0), FALSE)</f>
        <v>40.1</v>
      </c>
    </row>
    <row r="15" spans="1:7" ht="15" x14ac:dyDescent="0.25">
      <c r="A15" s="7" t="s">
        <v>18</v>
      </c>
      <c r="B15" s="11">
        <f>VLOOKUP($A15, Dataset!$A$2:$W$50, MATCH(B$5, Dataset!$1:$1, 0), FALSE)</f>
        <v>26.8</v>
      </c>
      <c r="C15" s="11">
        <f>VLOOKUP($A15, Dataset!$A$2:$W$50, MATCH(C$5, Dataset!$1:$1, 0), FALSE)</f>
        <v>79.599999999999994</v>
      </c>
      <c r="D15" s="11">
        <f>VLOOKUP($A15, Dataset!$A$2:$W$50, MATCH(D$5, Dataset!$1:$1, 0), FALSE)</f>
        <v>47.9</v>
      </c>
      <c r="E15" s="11">
        <f>VLOOKUP($A15, Dataset!$A$2:$W$50, MATCH(E$5, Dataset!$1:$1, 0), FALSE)</f>
        <v>96.8</v>
      </c>
      <c r="F15" s="11">
        <f>VLOOKUP($A15, Dataset!$A$2:$W$50, MATCH(F$5, Dataset!$1:$1, 0), FALSE)</f>
        <v>47.9</v>
      </c>
    </row>
    <row r="16" spans="1:7" ht="15" x14ac:dyDescent="0.25">
      <c r="A16" s="7" t="s">
        <v>20</v>
      </c>
      <c r="B16" s="11">
        <f>VLOOKUP($A16, Dataset!$A$2:$W$50, MATCH(B$5, Dataset!$1:$1, 0), FALSE)</f>
        <v>28.5</v>
      </c>
      <c r="C16" s="11">
        <f>VLOOKUP($A16, Dataset!$A$2:$W$50, MATCH(C$5, Dataset!$1:$1, 0), FALSE)</f>
        <v>85.4</v>
      </c>
      <c r="D16" s="11">
        <f>VLOOKUP($A16, Dataset!$A$2:$W$50, MATCH(D$5, Dataset!$1:$1, 0), FALSE)</f>
        <v>52.3</v>
      </c>
      <c r="E16" s="11">
        <f>VLOOKUP($A16, Dataset!$A$2:$W$50, MATCH(E$5, Dataset!$1:$1, 0), FALSE)</f>
        <v>106.1</v>
      </c>
      <c r="F16" s="11">
        <f>VLOOKUP($A16, Dataset!$A$2:$W$50, MATCH(F$5, Dataset!$1:$1, 0), FALSE)</f>
        <v>52.3</v>
      </c>
    </row>
    <row r="17" spans="1:6" ht="15" x14ac:dyDescent="0.25">
      <c r="A17" s="7" t="s">
        <v>22</v>
      </c>
      <c r="B17" s="11">
        <f>VLOOKUP($A17, Dataset!$A$2:$W$50, MATCH(B$5, Dataset!$1:$1, 0), FALSE)</f>
        <v>30.7</v>
      </c>
      <c r="C17" s="11">
        <f>VLOOKUP($A17, Dataset!$A$2:$W$50, MATCH(C$5, Dataset!$1:$1, 0), FALSE)</f>
        <v>92.1</v>
      </c>
      <c r="D17" s="11">
        <f>VLOOKUP($A17, Dataset!$A$2:$W$50, MATCH(D$5, Dataset!$1:$1, 0), FALSE)</f>
        <v>57</v>
      </c>
      <c r="E17" s="11">
        <f>VLOOKUP($A17, Dataset!$A$2:$W$50, MATCH(E$5, Dataset!$1:$1, 0), FALSE)</f>
        <v>115.1</v>
      </c>
      <c r="F17" s="11">
        <f>VLOOKUP($A17, Dataset!$A$2:$W$50, MATCH(F$5, Dataset!$1:$1, 0), FALSE)</f>
        <v>57</v>
      </c>
    </row>
    <row r="18" spans="1:6" ht="15" x14ac:dyDescent="0.25">
      <c r="A18" s="7" t="s">
        <v>23</v>
      </c>
      <c r="B18" s="11">
        <f>VLOOKUP($A18, Dataset!$A$2:$W$50, MATCH(B$5, Dataset!$1:$1, 0), FALSE)</f>
        <v>33.799999999999997</v>
      </c>
      <c r="C18" s="11">
        <f>VLOOKUP($A18, Dataset!$A$2:$W$50, MATCH(C$5, Dataset!$1:$1, 0), FALSE)</f>
        <v>101.3</v>
      </c>
      <c r="D18" s="11">
        <f>VLOOKUP($A18, Dataset!$A$2:$W$50, MATCH(D$5, Dataset!$1:$1, 0), FALSE)</f>
        <v>61.4</v>
      </c>
      <c r="E18" s="11">
        <f>VLOOKUP($A18, Dataset!$A$2:$W$50, MATCH(E$5, Dataset!$1:$1, 0), FALSE)</f>
        <v>124.4</v>
      </c>
      <c r="F18" s="11">
        <f>VLOOKUP($A18, Dataset!$A$2:$W$50, MATCH(F$5, Dataset!$1:$1, 0), FALSE)</f>
        <v>61.4</v>
      </c>
    </row>
    <row r="19" spans="1:6" ht="15" x14ac:dyDescent="0.25">
      <c r="A19" s="7" t="s">
        <v>24</v>
      </c>
      <c r="B19" s="11">
        <f>VLOOKUP($A19, Dataset!$A$2:$W$50, MATCH(B$5, Dataset!$1:$1, 0), FALSE)</f>
        <v>34.700000000000003</v>
      </c>
      <c r="C19" s="11">
        <f>VLOOKUP($A19, Dataset!$A$2:$W$50, MATCH(C$5, Dataset!$1:$1, 0), FALSE)</f>
        <v>106.1</v>
      </c>
      <c r="D19" s="11">
        <f>VLOOKUP($A19, Dataset!$A$2:$W$50, MATCH(D$5, Dataset!$1:$1, 0), FALSE)</f>
        <v>63.6</v>
      </c>
      <c r="E19" s="11">
        <f>VLOOKUP($A19, Dataset!$A$2:$W$50, MATCH(E$5, Dataset!$1:$1, 0), FALSE)</f>
        <v>128.6</v>
      </c>
      <c r="F19" s="11">
        <f>VLOOKUP($A19, Dataset!$A$2:$W$50, MATCH(F$5, Dataset!$1:$1, 0), FALSE)</f>
        <v>63.6</v>
      </c>
    </row>
    <row r="20" spans="1:6" ht="15" x14ac:dyDescent="0.25">
      <c r="A20" s="7" t="s">
        <v>28</v>
      </c>
      <c r="B20" s="11">
        <f>VLOOKUP($A20, Dataset!$A$2:$W$50, MATCH(B$5, Dataset!$1:$1, 0), FALSE)</f>
        <v>0</v>
      </c>
      <c r="C20" s="11">
        <f>VLOOKUP($A20, Dataset!$A$2:$W$50, MATCH(C$5, Dataset!$1:$1, 0), FALSE)</f>
        <v>0</v>
      </c>
      <c r="D20" s="11">
        <f>VLOOKUP($A20, Dataset!$A$2:$W$50, MATCH(D$5, Dataset!$1:$1, 0), FALSE)</f>
        <v>0</v>
      </c>
      <c r="E20" s="11">
        <f>VLOOKUP($A20, Dataset!$A$2:$W$50, MATCH(E$5, Dataset!$1:$1, 0), FALSE)</f>
        <v>0</v>
      </c>
      <c r="F20" s="11">
        <f>VLOOKUP($A20, Dataset!$A$2:$W$50, MATCH(F$5, Dataset!$1:$1, 0), FALSE)</f>
        <v>0</v>
      </c>
    </row>
    <row r="21" spans="1:6" ht="15" x14ac:dyDescent="0.25">
      <c r="A21" s="7" t="s">
        <v>57</v>
      </c>
      <c r="B21" s="11">
        <f>VLOOKUP($A21, Dataset!$A$2:$W$50, MATCH(B$5, Dataset!$1:$1, 0), FALSE)</f>
        <v>41.3</v>
      </c>
      <c r="C21" s="11">
        <f>VLOOKUP($A21, Dataset!$A$2:$W$50, MATCH(C$5, Dataset!$1:$1, 0), FALSE)</f>
        <v>124.4</v>
      </c>
      <c r="D21" s="11">
        <f>VLOOKUP($A21, Dataset!$A$2:$W$50, MATCH(D$5, Dataset!$1:$1, 0), FALSE)</f>
        <v>75</v>
      </c>
      <c r="E21" s="11">
        <f>VLOOKUP($A21, Dataset!$A$2:$W$50, MATCH(E$5, Dataset!$1:$1, 0), FALSE)</f>
        <v>151.5</v>
      </c>
      <c r="F21" s="11">
        <f>VLOOKUP($A21, Dataset!$A$2:$W$50, MATCH(F$5, Dataset!$1:$1, 0), FALSE)</f>
        <v>75</v>
      </c>
    </row>
    <row r="22" spans="1:6" ht="15" x14ac:dyDescent="0.25">
      <c r="A22" s="7" t="s">
        <v>58</v>
      </c>
      <c r="B22" s="11">
        <f>VLOOKUP($A22, Dataset!$A$2:$W$50, MATCH(B$5, Dataset!$1:$1, 0), FALSE)</f>
        <v>-1</v>
      </c>
      <c r="C22" s="11">
        <f>VLOOKUP($A22, Dataset!$A$2:$W$50, MATCH(C$5, Dataset!$1:$1, 0), FALSE)</f>
        <v>-1</v>
      </c>
      <c r="D22" s="11">
        <f>VLOOKUP($A22, Dataset!$A$2:$W$50, MATCH(D$5, Dataset!$1:$1, 0), FALSE)</f>
        <v>-1</v>
      </c>
      <c r="E22" s="11">
        <f>VLOOKUP($A22, Dataset!$A$2:$W$50, MATCH(E$5, Dataset!$1:$1, 0), FALSE)</f>
        <v>-1</v>
      </c>
      <c r="F22" s="11">
        <f>VLOOKUP($A22, Dataset!$A$2:$W$50, MATCH(F$5, Dataset!$1:$1, 0), FALSE)</f>
        <v>-1</v>
      </c>
    </row>
    <row r="23" spans="1:6" ht="15" x14ac:dyDescent="0.25">
      <c r="A23" s="7" t="s">
        <v>31</v>
      </c>
      <c r="B23" s="11">
        <f>VLOOKUP($A23, Dataset!$A$2:$W$50, MATCH(B$5, Dataset!$1:$1, 0), FALSE)</f>
        <v>45</v>
      </c>
      <c r="C23" s="11">
        <f>VLOOKUP($A23, Dataset!$A$2:$W$50, MATCH(C$5, Dataset!$1:$1, 0), FALSE)</f>
        <v>133.4</v>
      </c>
      <c r="D23" s="11">
        <f>VLOOKUP($A23, Dataset!$A$2:$W$50, MATCH(D$5, Dataset!$1:$1, 0), FALSE)</f>
        <v>79.400000000000006</v>
      </c>
      <c r="E23" s="11">
        <f>VLOOKUP($A23, Dataset!$A$2:$W$50, MATCH(E$5, Dataset!$1:$1, 0), FALSE)</f>
        <v>160.9</v>
      </c>
      <c r="F23" s="11">
        <f>VLOOKUP($A23, Dataset!$A$2:$W$50, MATCH(F$5, Dataset!$1:$1, 0), FALSE)</f>
        <v>79.400000000000006</v>
      </c>
    </row>
    <row r="24" spans="1:6" ht="15" x14ac:dyDescent="0.25">
      <c r="A24" s="7" t="s">
        <v>32</v>
      </c>
      <c r="B24" s="11">
        <f>VLOOKUP($A24, Dataset!$A$2:$W$50, MATCH(B$5, Dataset!$1:$1, 0), FALSE)</f>
        <v>-1</v>
      </c>
      <c r="C24" s="11">
        <f>VLOOKUP($A24, Dataset!$A$2:$W$50, MATCH(C$5, Dataset!$1:$1, 0), FALSE)</f>
        <v>-1</v>
      </c>
      <c r="D24" s="11">
        <f>VLOOKUP($A24, Dataset!$A$2:$W$50, MATCH(D$5, Dataset!$1:$1, 0), FALSE)</f>
        <v>-1</v>
      </c>
      <c r="E24" s="11">
        <f>VLOOKUP($A24, Dataset!$A$2:$W$50, MATCH(E$5, Dataset!$1:$1, 0), FALSE)</f>
        <v>-1</v>
      </c>
      <c r="F24" s="11">
        <f>VLOOKUP($A24, Dataset!$A$2:$W$50, MATCH(F$5, Dataset!$1:$1, 0), FALSE)</f>
        <v>-1</v>
      </c>
    </row>
    <row r="25" spans="1:6" ht="15" x14ac:dyDescent="0.25">
      <c r="A25" s="7" t="s">
        <v>34</v>
      </c>
      <c r="B25" s="11">
        <f>VLOOKUP($A25, Dataset!$A$2:$W$50, MATCH(B$5, Dataset!$1:$1, 0), FALSE)</f>
        <v>43.3</v>
      </c>
      <c r="C25" s="11">
        <f>VLOOKUP($A25, Dataset!$A$2:$W$50, MATCH(C$5, Dataset!$1:$1, 0), FALSE)</f>
        <v>128.6</v>
      </c>
      <c r="D25" s="11">
        <f>VLOOKUP($A25, Dataset!$A$2:$W$50, MATCH(D$5, Dataset!$1:$1, 0), FALSE)</f>
        <v>79.400000000000006</v>
      </c>
      <c r="E25" s="11">
        <f>VLOOKUP($A25, Dataset!$A$2:$W$50, MATCH(E$5, Dataset!$1:$1, 0), FALSE)</f>
        <v>160.9</v>
      </c>
      <c r="F25" s="11">
        <f>VLOOKUP($A25, Dataset!$A$2:$W$50, MATCH(F$5, Dataset!$1:$1, 0), FALSE)</f>
        <v>79.400000000000006</v>
      </c>
    </row>
    <row r="26" spans="1:6" ht="15" x14ac:dyDescent="0.25">
      <c r="A26" s="7" t="s">
        <v>37</v>
      </c>
      <c r="B26" s="11">
        <f>VLOOKUP($A26, Dataset!$A$2:$W$50, MATCH(B$5, Dataset!$1:$1, 0), FALSE)</f>
        <v>49.1</v>
      </c>
      <c r="C26" s="11">
        <f>VLOOKUP($A26, Dataset!$A$2:$W$50, MATCH(C$5, Dataset!$1:$1, 0), FALSE)</f>
        <v>146.80000000000001</v>
      </c>
      <c r="D26" s="11">
        <f>VLOOKUP($A26, Dataset!$A$2:$W$50, MATCH(D$5, Dataset!$1:$1, 0), FALSE)</f>
        <v>90.9</v>
      </c>
      <c r="E26" s="11">
        <f>VLOOKUP($A26, Dataset!$A$2:$W$50, MATCH(E$5, Dataset!$1:$1, 0), FALSE)</f>
        <v>183.5</v>
      </c>
      <c r="F26" s="11">
        <f>VLOOKUP($A26, Dataset!$A$2:$W$50, MATCH(F$5, Dataset!$1:$1, 0), FALSE)</f>
        <v>90.9</v>
      </c>
    </row>
    <row r="27" spans="1:6" ht="15" x14ac:dyDescent="0.25">
      <c r="A27" s="7" t="s">
        <v>39</v>
      </c>
      <c r="B27" s="11">
        <f>VLOOKUP($A27, Dataset!$A$2:$W$50, MATCH(B$5, Dataset!$1:$1, 0), FALSE)</f>
        <v>51.8</v>
      </c>
      <c r="C27" s="11">
        <f>VLOOKUP($A27, Dataset!$A$2:$W$50, MATCH(C$5, Dataset!$1:$1, 0), FALSE)</f>
        <v>156.4</v>
      </c>
      <c r="D27" s="11">
        <f>VLOOKUP($A27, Dataset!$A$2:$W$50, MATCH(D$5, Dataset!$1:$1, 0), FALSE)</f>
        <v>93.1</v>
      </c>
      <c r="E27" s="11">
        <f>VLOOKUP($A27, Dataset!$A$2:$W$50, MATCH(E$5, Dataset!$1:$1, 0), FALSE)</f>
        <v>188.1</v>
      </c>
      <c r="F27" s="11">
        <f>VLOOKUP($A27, Dataset!$A$2:$W$50, MATCH(F$5, Dataset!$1:$1, 0), FALSE)</f>
        <v>93.1</v>
      </c>
    </row>
    <row r="28" spans="1:6" ht="15" x14ac:dyDescent="0.25">
      <c r="A28" s="19" t="s">
        <v>82</v>
      </c>
      <c r="B28" s="54">
        <f>MIN(B6:B27)</f>
        <v>-1</v>
      </c>
      <c r="C28" s="55">
        <f t="shared" ref="C28:F28" si="0">MIN(C6:C27)</f>
        <v>-1</v>
      </c>
      <c r="D28" s="54">
        <f t="shared" si="0"/>
        <v>-1</v>
      </c>
      <c r="E28" s="54">
        <f t="shared" si="0"/>
        <v>-1</v>
      </c>
      <c r="F28" s="54">
        <f t="shared" si="0"/>
        <v>-1</v>
      </c>
    </row>
    <row r="29" spans="1:6" ht="15" x14ac:dyDescent="0.25">
      <c r="A29" s="19" t="s">
        <v>83</v>
      </c>
      <c r="B29" s="54">
        <f>MAX(B7:B28)</f>
        <v>51.8</v>
      </c>
      <c r="C29" s="55">
        <f t="shared" ref="C29:F29" si="1">MAX(C7:C28)</f>
        <v>156.4</v>
      </c>
      <c r="D29" s="54">
        <f t="shared" si="1"/>
        <v>93.1</v>
      </c>
      <c r="E29" s="54">
        <f t="shared" si="1"/>
        <v>188.1</v>
      </c>
      <c r="F29" s="54">
        <f t="shared" si="1"/>
        <v>93.1</v>
      </c>
    </row>
    <row r="30" spans="1:6" ht="15" x14ac:dyDescent="0.25">
      <c r="A30" s="19" t="s">
        <v>84</v>
      </c>
      <c r="B30" s="54">
        <f>AVERAGE(B8:B29)</f>
        <v>22.890909090909091</v>
      </c>
      <c r="C30" s="55">
        <f t="shared" ref="C30:F30" si="2">AVERAGE(C8:C29)</f>
        <v>68.75</v>
      </c>
      <c r="D30" s="54">
        <f t="shared" si="2"/>
        <v>41.604545454545452</v>
      </c>
      <c r="E30" s="54">
        <f t="shared" si="2"/>
        <v>84.11363636363636</v>
      </c>
      <c r="F30" s="54">
        <f t="shared" si="2"/>
        <v>41.604545454545452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P54"/>
  <sheetViews>
    <sheetView topLeftCell="A8" zoomScaleNormal="100" workbookViewId="0">
      <selection activeCell="B5" sqref="B5:P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6" s="39" customFormat="1" ht="21" x14ac:dyDescent="0.35">
      <c r="A1" s="40" t="s">
        <v>56</v>
      </c>
      <c r="B1" s="39" t="s">
        <v>174</v>
      </c>
    </row>
    <row r="2" spans="1:16" customFormat="1" ht="12.75" x14ac:dyDescent="0.2"/>
    <row r="3" spans="1:16" s="2" customFormat="1" x14ac:dyDescent="0.25">
      <c r="B3" s="1"/>
    </row>
    <row r="4" spans="1:16" s="2" customFormat="1" x14ac:dyDescent="0.25">
      <c r="B4" s="1" t="s">
        <v>151</v>
      </c>
    </row>
    <row r="5" spans="1:16" ht="18.75" x14ac:dyDescent="0.3">
      <c r="A5" s="41" t="s">
        <v>53</v>
      </c>
      <c r="B5" s="49" t="s">
        <v>178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1:16" ht="18.75" x14ac:dyDescent="0.3">
      <c r="A6" s="41" t="s">
        <v>153</v>
      </c>
      <c r="B6" s="49" t="s">
        <v>179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</row>
    <row r="7" spans="1:16" ht="18.75" x14ac:dyDescent="0.3">
      <c r="A7" s="41"/>
      <c r="B7" s="38"/>
    </row>
    <row r="9" spans="1:16" ht="23.25" x14ac:dyDescent="0.35">
      <c r="A9" s="17" t="s">
        <v>165</v>
      </c>
      <c r="I9" s="2"/>
      <c r="J9" s="2"/>
    </row>
    <row r="10" spans="1:16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6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6" ht="23.25" x14ac:dyDescent="0.35">
      <c r="A14" s="17" t="s">
        <v>162</v>
      </c>
    </row>
    <row r="15" spans="1:16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6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2">
    <mergeCell ref="B6:O6"/>
    <mergeCell ref="B5:P5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K22"/>
  <sheetViews>
    <sheetView topLeftCell="A6" zoomScaleNormal="100" workbookViewId="0">
      <selection activeCell="D13" sqref="D13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1" ht="21" x14ac:dyDescent="0.35">
      <c r="A1" s="40" t="s">
        <v>85</v>
      </c>
      <c r="B1" s="39" t="s">
        <v>167</v>
      </c>
    </row>
    <row r="2" spans="1:11" ht="18.75" x14ac:dyDescent="0.3">
      <c r="B2" s="38" t="s">
        <v>166</v>
      </c>
    </row>
    <row r="5" spans="1:11" ht="15" x14ac:dyDescent="0.25">
      <c r="B5" s="1" t="s">
        <v>151</v>
      </c>
    </row>
    <row r="6" spans="1:11" ht="15" x14ac:dyDescent="0.25">
      <c r="A6" s="3" t="s">
        <v>53</v>
      </c>
      <c r="B6" s="50" t="s">
        <v>180</v>
      </c>
      <c r="C6" s="50"/>
      <c r="D6" s="50"/>
      <c r="E6" s="50"/>
      <c r="F6" s="50"/>
    </row>
    <row r="7" spans="1:11" ht="15" x14ac:dyDescent="0.25">
      <c r="A7" s="3" t="s">
        <v>153</v>
      </c>
      <c r="B7" s="52" t="s">
        <v>181</v>
      </c>
      <c r="C7" s="51"/>
      <c r="D7" s="51"/>
      <c r="E7" s="51"/>
      <c r="F7" s="51"/>
      <c r="G7" s="51"/>
      <c r="H7" s="51"/>
      <c r="I7" s="51"/>
      <c r="J7" s="51"/>
      <c r="K7" s="51"/>
    </row>
    <row r="8" spans="1:11" x14ac:dyDescent="0.2">
      <c r="B8" s="51"/>
      <c r="C8" s="51"/>
      <c r="D8" s="51"/>
      <c r="E8" s="51"/>
      <c r="F8" s="51"/>
      <c r="G8" s="51"/>
      <c r="H8" s="51"/>
      <c r="I8" s="51"/>
      <c r="J8" s="51"/>
      <c r="K8" s="51"/>
    </row>
    <row r="10" spans="1:11" ht="23.25" x14ac:dyDescent="0.35">
      <c r="A10" s="17" t="s">
        <v>162</v>
      </c>
    </row>
    <row r="11" spans="1:11" ht="15" x14ac:dyDescent="0.25">
      <c r="A11" s="30" t="s">
        <v>86</v>
      </c>
      <c r="B11" s="16" t="s">
        <v>87</v>
      </c>
      <c r="C11" s="16" t="s">
        <v>88</v>
      </c>
    </row>
    <row r="12" spans="1:11" ht="15" x14ac:dyDescent="0.25">
      <c r="A12" s="30">
        <v>44927</v>
      </c>
      <c r="B12" s="16" t="s">
        <v>59</v>
      </c>
      <c r="C12" s="16">
        <v>200</v>
      </c>
    </row>
    <row r="13" spans="1:11" ht="15" x14ac:dyDescent="0.25">
      <c r="A13" s="30">
        <v>44928</v>
      </c>
      <c r="B13" s="16" t="s">
        <v>60</v>
      </c>
      <c r="C13" s="16" t="e">
        <v>#N/A</v>
      </c>
    </row>
    <row r="14" spans="1:11" ht="15" x14ac:dyDescent="0.25">
      <c r="A14" s="30">
        <v>44929</v>
      </c>
      <c r="B14" s="16" t="s">
        <v>61</v>
      </c>
      <c r="C14" s="16">
        <v>50</v>
      </c>
    </row>
    <row r="15" spans="1:11" ht="15" x14ac:dyDescent="0.25">
      <c r="A15" s="30">
        <v>44930</v>
      </c>
      <c r="B15" s="16" t="s">
        <v>62</v>
      </c>
      <c r="C15" s="16" t="e">
        <v>#N/A</v>
      </c>
    </row>
    <row r="16" spans="1:11" ht="15" x14ac:dyDescent="0.25">
      <c r="A16" s="30">
        <v>44931</v>
      </c>
      <c r="B16" s="16" t="s">
        <v>63</v>
      </c>
      <c r="C16" s="16">
        <v>10</v>
      </c>
    </row>
    <row r="17" spans="1:3" ht="15" x14ac:dyDescent="0.25">
      <c r="A17" s="30">
        <v>44932</v>
      </c>
      <c r="B17" s="16" t="s">
        <v>154</v>
      </c>
      <c r="C17" s="16">
        <v>150</v>
      </c>
    </row>
    <row r="18" spans="1:3" ht="15" x14ac:dyDescent="0.25">
      <c r="A18" s="30">
        <v>44933</v>
      </c>
      <c r="B18" s="16" t="s">
        <v>155</v>
      </c>
      <c r="C18" s="16">
        <v>80</v>
      </c>
    </row>
    <row r="19" spans="1:3" ht="15" x14ac:dyDescent="0.25">
      <c r="A19" s="30">
        <v>44934</v>
      </c>
      <c r="B19" s="16" t="s">
        <v>156</v>
      </c>
      <c r="C19" s="16" t="e">
        <v>#N/A</v>
      </c>
    </row>
    <row r="20" spans="1:3" ht="15" x14ac:dyDescent="0.25">
      <c r="A20" s="30">
        <v>44935</v>
      </c>
      <c r="B20" s="16" t="s">
        <v>157</v>
      </c>
      <c r="C20" s="16">
        <v>30</v>
      </c>
    </row>
    <row r="21" spans="1:3" ht="15" x14ac:dyDescent="0.25">
      <c r="A21" s="30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53">
        <f>SUMIF(C12:C21,"&lt;&gt;#N/A",IF(ISNA(C12:C21),20,C12:C21))</f>
        <v>520</v>
      </c>
    </row>
  </sheetData>
  <mergeCells count="2">
    <mergeCell ref="B6:F6"/>
    <mergeCell ref="B7:K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48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.75" x14ac:dyDescent="0.3">
      <c r="A23" s="7">
        <v>10100</v>
      </c>
      <c r="B23" s="11">
        <v>10102</v>
      </c>
      <c r="C23" s="56">
        <v>95</v>
      </c>
    </row>
    <row r="24" spans="1:14" ht="15" x14ac:dyDescent="0.25">
      <c r="A24" s="7">
        <v>10100</v>
      </c>
      <c r="B24" s="11">
        <v>10104</v>
      </c>
      <c r="C24" s="42">
        <v>-1</v>
      </c>
    </row>
    <row r="25" spans="1:14" ht="15" x14ac:dyDescent="0.25">
      <c r="A25" s="7">
        <v>10108</v>
      </c>
      <c r="B25" s="11">
        <v>10102</v>
      </c>
      <c r="C25" s="42">
        <v>160</v>
      </c>
    </row>
    <row r="26" spans="1:14" ht="15" x14ac:dyDescent="0.25">
      <c r="A26" s="7">
        <v>10100</v>
      </c>
      <c r="B26" s="11">
        <v>10106</v>
      </c>
      <c r="C26" s="42">
        <v>185</v>
      </c>
    </row>
    <row r="27" spans="1:14" ht="15" x14ac:dyDescent="0.25">
      <c r="A27" s="7">
        <v>10108</v>
      </c>
      <c r="B27" s="11">
        <v>10110</v>
      </c>
      <c r="C27" s="42">
        <v>50</v>
      </c>
    </row>
    <row r="28" spans="1:14" ht="15" x14ac:dyDescent="0.25">
      <c r="A28" s="7">
        <v>10102</v>
      </c>
      <c r="B28" s="11">
        <v>10104</v>
      </c>
      <c r="C28" s="42">
        <v>-1</v>
      </c>
    </row>
    <row r="29" spans="1:14" ht="15" x14ac:dyDescent="0.25">
      <c r="A29" s="7">
        <v>10106</v>
      </c>
      <c r="B29" s="11">
        <v>10108</v>
      </c>
      <c r="C29" s="42">
        <v>70</v>
      </c>
    </row>
    <row r="30" spans="1:14" ht="15" x14ac:dyDescent="0.25">
      <c r="A30" s="7">
        <v>10102</v>
      </c>
      <c r="B30" s="11">
        <v>10106</v>
      </c>
      <c r="C30" s="42">
        <v>90</v>
      </c>
    </row>
    <row r="31" spans="1:14" ht="15" x14ac:dyDescent="0.25">
      <c r="A31" s="7">
        <v>10110</v>
      </c>
      <c r="B31" s="11">
        <v>10114</v>
      </c>
      <c r="C31" s="42">
        <v>180</v>
      </c>
    </row>
    <row r="32" spans="1:14" ht="15" x14ac:dyDescent="0.25">
      <c r="A32" s="7">
        <v>10104</v>
      </c>
      <c r="B32" s="11">
        <v>10106</v>
      </c>
      <c r="C32" s="42">
        <v>60</v>
      </c>
    </row>
    <row r="33" spans="1:3" ht="15" x14ac:dyDescent="0.25">
      <c r="A33" s="7">
        <v>10110</v>
      </c>
      <c r="B33" s="11">
        <v>10112</v>
      </c>
      <c r="C33" s="42">
        <v>115</v>
      </c>
    </row>
    <row r="34" spans="1:3" ht="15" x14ac:dyDescent="0.25">
      <c r="A34" s="7">
        <v>10100</v>
      </c>
      <c r="B34" s="11">
        <v>10114</v>
      </c>
      <c r="C34" s="42">
        <v>480</v>
      </c>
    </row>
    <row r="35" spans="1:3" ht="15" x14ac:dyDescent="0.25">
      <c r="A35" s="8">
        <v>10112</v>
      </c>
      <c r="B35" s="12">
        <v>10116</v>
      </c>
      <c r="C35" s="43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Anghan Jay</cp:lastModifiedBy>
  <dcterms:created xsi:type="dcterms:W3CDTF">2015-02-10T17:33:11Z</dcterms:created>
  <dcterms:modified xsi:type="dcterms:W3CDTF">2023-12-11T16:20:39Z</dcterms:modified>
</cp:coreProperties>
</file>